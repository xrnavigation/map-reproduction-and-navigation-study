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xr:revisionPtr revIDLastSave="31" documentId="11_0325214838BE76D6FAC16A4BCF2168EACE4A2373" xr6:coauthVersionLast="47" xr6:coauthVersionMax="47" xr10:uidLastSave="{A13F37FE-CCBE-4E1A-A51C-6788568838BF}"/>
  <bookViews>
    <workbookView xWindow="0" yWindow="0" windowWidth="0" windowHeight="0" firstSheet="1" activeTab="1" xr2:uid="{00000000-000D-0000-FFFF-FFFF00000000}"/>
  </bookViews>
  <sheets>
    <sheet name="Data Status" sheetId="1" r:id="rId1"/>
    <sheet name="Navigation Scores" sheetId="2" r:id="rId2"/>
    <sheet name="SUS Scores" sheetId="3" r:id="rId3"/>
    <sheet name="Map Reproduction Score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" i="4" l="1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5" i="4"/>
  <c r="J4" i="4"/>
  <c r="M14" i="3"/>
  <c r="M13" i="3"/>
  <c r="M12" i="3"/>
  <c r="M11" i="3"/>
  <c r="M10" i="3"/>
  <c r="M9" i="3"/>
  <c r="M8" i="3"/>
  <c r="M7" i="3"/>
  <c r="M3" i="3"/>
  <c r="M2" i="3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5" i="2"/>
  <c r="X4" i="2"/>
</calcChain>
</file>

<file path=xl/sharedStrings.xml><?xml version="1.0" encoding="utf-8"?>
<sst xmlns="http://schemas.openxmlformats.org/spreadsheetml/2006/main" count="878" uniqueCount="83">
  <si>
    <t>Participant</t>
  </si>
  <si>
    <t>Group</t>
  </si>
  <si>
    <t>Data Status</t>
  </si>
  <si>
    <t>Notes</t>
  </si>
  <si>
    <t>P1</t>
  </si>
  <si>
    <t>Sighted</t>
  </si>
  <si>
    <t>Complete</t>
  </si>
  <si>
    <t>All TLX tables empty - no data recorded</t>
  </si>
  <si>
    <t>P2</t>
  </si>
  <si>
    <t>P3</t>
  </si>
  <si>
    <t>Corrupted</t>
  </si>
  <si>
    <t>Data excluded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</si>
  <si>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</si>
  <si>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</si>
  <si>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</si>
  <si>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</si>
  <si>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</si>
  <si>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</si>
  <si>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</si>
  <si>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</si>
  <si>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</si>
  <si>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</si>
  <si>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Total Participants: 13</t>
  </si>
  <si>
    <t>Corrupted: 3 (P3, P4, P5)</t>
  </si>
  <si>
    <t>Condition</t>
  </si>
  <si>
    <t>Route Name</t>
  </si>
  <si>
    <t>Route</t>
  </si>
  <si>
    <t>Route Completion Going</t>
  </si>
  <si>
    <t>Route Completion Returning</t>
  </si>
  <si>
    <t>Navigation Errors Going</t>
  </si>
  <si>
    <t>Navigation Errors Returning</t>
  </si>
  <si>
    <t>Navigation Time Going</t>
  </si>
  <si>
    <t>Navigation Time Returning</t>
  </si>
  <si>
    <t>Assistance Requests Going</t>
  </si>
  <si>
    <t>Assistance Requests Returning</t>
  </si>
  <si>
    <t>Confidence Pre-Navigation</t>
  </si>
  <si>
    <t>Confidence Post-Going</t>
  </si>
  <si>
    <t>Confidence Post-Returning</t>
  </si>
  <si>
    <t>Mental Demand</t>
  </si>
  <si>
    <t>Physical Demand</t>
  </si>
  <si>
    <t>Temporal Demand</t>
  </si>
  <si>
    <t>Performance</t>
  </si>
  <si>
    <t>Effort</t>
  </si>
  <si>
    <t>Frustration</t>
  </si>
  <si>
    <t>RTLX Composite</t>
  </si>
  <si>
    <t>Correct Destination Identified</t>
  </si>
  <si>
    <t>Alternative Route Valid</t>
  </si>
  <si>
    <t>File Name</t>
  </si>
  <si>
    <t>Comments</t>
  </si>
  <si>
    <t>Valid</t>
  </si>
  <si>
    <t>Audiom</t>
  </si>
  <si>
    <t/>
  </si>
  <si>
    <t>Turn-by-turn</t>
  </si>
  <si>
    <t>Yes</t>
  </si>
  <si>
    <t>P1-3</t>
  </si>
  <si>
    <t>B2</t>
  </si>
  <si>
    <t>GF2</t>
  </si>
  <si>
    <t>B1</t>
  </si>
  <si>
    <t>GF1</t>
  </si>
  <si>
    <t>SUS_Q1</t>
  </si>
  <si>
    <t>SUS_Q2</t>
  </si>
  <si>
    <t>SUS_Q3</t>
  </si>
  <si>
    <t>SUS_Q4</t>
  </si>
  <si>
    <t>SUS_Q5</t>
  </si>
  <si>
    <t>SUS_Q6</t>
  </si>
  <si>
    <t>SUS_Q7</t>
  </si>
  <si>
    <t>SUS_Q8</t>
  </si>
  <si>
    <t>SUS_Q9</t>
  </si>
  <si>
    <t>SUS_Q10</t>
  </si>
  <si>
    <t>Calculated SUS Score</t>
  </si>
  <si>
    <t>Map</t>
  </si>
  <si>
    <t>TLX Raw Score</t>
  </si>
  <si>
    <t>Accuracy Percentage</t>
  </si>
  <si>
    <t>Condition Order</t>
  </si>
  <si>
    <t>Additional Point Penalty</t>
  </si>
  <si>
    <t>Final Accuracy Percentage</t>
  </si>
  <si>
    <t>Audio</t>
  </si>
  <si>
    <t>Visual</t>
  </si>
  <si>
    <t>Map 2</t>
  </si>
  <si>
    <t>1st</t>
  </si>
  <si>
    <t>Map 3</t>
  </si>
  <si>
    <t>2nd</t>
  </si>
  <si>
    <t>Note: P1 had no data recorded. P3, P4, P5 data corrupted - cells left blank.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</si>
</sst>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opLeftCell="A9" workbookViewId="0">
      <selection activeCell="D25" sqref="D25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6</v>
      </c>
    </row>
    <row r="4" spans="1:4">
      <c r="A4" t="s">
        <v>9</v>
      </c>
      <c r="B4" t="s">
        <v>5</v>
      </c>
      <c r="C4" t="s">
        <v>10</v>
      </c>
      <c r="D4" t="s">
        <v>11</v>
      </c>
    </row>
    <row r="5" spans="1:4">
      <c r="A5" t="s">
        <v>12</v>
      </c>
      <c r="B5" t="s">
        <v>5</v>
      </c>
      <c r="C5" t="s">
        <v>10</v>
      </c>
      <c r="D5" t="s">
        <v>11</v>
      </c>
    </row>
    <row r="6" spans="1:4">
      <c r="A6" t="s">
        <v>13</v>
      </c>
      <c r="B6" t="s">
        <v>5</v>
      </c>
      <c r="C6" t="s">
        <v>10</v>
      </c>
      <c r="D6" t="s">
        <v>11</v>
      </c>
    </row>
    <row r="7" spans="1:4">
      <c r="A7" t="s">
        <v>14</v>
      </c>
      <c r="B7" t="s">
        <v>5</v>
      </c>
      <c r="C7" t="s">
        <v>6</v>
      </c>
    </row>
    <row r="8" spans="1:4">
      <c r="A8" t="s">
        <v>15</v>
      </c>
      <c r="B8" t="s">
        <v>5</v>
      </c>
      <c r="C8" t="s">
        <v>6</v>
      </c>
    </row>
    <row r="9" spans="1:4">
      <c r="A9" t="s">
        <v>16</v>
      </c>
      <c r="B9" t="s">
        <v>5</v>
      </c>
      <c r="C9" t="s">
        <v>6</v>
      </c>
    </row>
    <row r="10" spans="1:4">
      <c r="A10" t="s">
        <v>17</v>
      </c>
      <c r="B10" t="s">
        <v>5</v>
      </c>
      <c r="C10" t="s">
        <v>6</v>
      </c>
    </row>
    <row r="11" spans="1:4">
      <c r="A11" t="s">
        <v>18</v>
      </c>
      <c r="B11" t="s">
        <v>5</v>
      </c>
      <c r="C11" t="s">
        <v>6</v>
      </c>
    </row>
    <row r="12" spans="1:4">
      <c r="A12" t="s">
        <v>19</v>
      </c>
      <c r="B12" t="s">
        <v>5</v>
      </c>
      <c r="C12" t="s">
        <v>6</v>
      </c>
    </row>
    <row r="13" spans="1:4">
      <c r="A13" t="s">
        <v>20</v>
      </c>
      <c r="B13" t="s">
        <v>5</v>
      </c>
      <c r="C13" t="s">
        <v>6</v>
      </c>
    </row>
    <row r="14" spans="1:4">
      <c r="A14" t="s">
        <v>21</v>
      </c>
      <c r="B14" t="s">
        <v>5</v>
      </c>
      <c r="C14" t="s">
        <v>6</v>
      </c>
    </row>
    <row r="16" spans="1:4">
      <c r="A16" t="s">
        <v>22</v>
      </c>
      <c r="C16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7"/>
  <sheetViews>
    <sheetView tabSelected="1" topLeftCell="Y2" workbookViewId="0">
      <selection activeCell="AA3" sqref="AA3"/>
    </sheetView>
  </sheetViews>
  <sheetFormatPr defaultRowHeight="15"/>
  <cols>
    <col min="28" max="28" width="47.140625" customWidth="1"/>
  </cols>
  <sheetData>
    <row r="1" spans="1:28">
      <c r="A1" t="s">
        <v>0</v>
      </c>
      <c r="B1" t="s">
        <v>2</v>
      </c>
      <c r="C1" t="s">
        <v>24</v>
      </c>
      <c r="D1" t="s">
        <v>25</v>
      </c>
      <c r="E1" t="s">
        <v>26</v>
      </c>
      <c r="F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44</v>
      </c>
      <c r="Y1" t="s">
        <v>45</v>
      </c>
      <c r="Z1" t="s">
        <v>46</v>
      </c>
      <c r="AA1" t="s">
        <v>47</v>
      </c>
      <c r="AB1" t="s">
        <v>48</v>
      </c>
    </row>
    <row r="2" spans="1:28">
      <c r="A2" t="s">
        <v>4</v>
      </c>
      <c r="B2" t="s">
        <v>49</v>
      </c>
      <c r="C2" t="s">
        <v>50</v>
      </c>
      <c r="D2" t="s">
        <v>51</v>
      </c>
      <c r="E2" t="s">
        <v>51</v>
      </c>
      <c r="F2" t="s">
        <v>51</v>
      </c>
      <c r="H2" t="s">
        <v>51</v>
      </c>
      <c r="I2" t="s">
        <v>51</v>
      </c>
      <c r="J2" t="s">
        <v>51</v>
      </c>
      <c r="K2" t="s">
        <v>51</v>
      </c>
      <c r="L2" t="s">
        <v>51</v>
      </c>
      <c r="M2" t="s">
        <v>51</v>
      </c>
      <c r="N2" t="s">
        <v>51</v>
      </c>
      <c r="P2" t="s">
        <v>51</v>
      </c>
      <c r="Q2" t="s">
        <v>51</v>
      </c>
      <c r="R2" t="s">
        <v>51</v>
      </c>
      <c r="S2" t="s">
        <v>51</v>
      </c>
      <c r="T2" t="s">
        <v>51</v>
      </c>
      <c r="U2" t="s">
        <v>51</v>
      </c>
      <c r="V2" t="s">
        <v>51</v>
      </c>
      <c r="W2" t="s">
        <v>51</v>
      </c>
      <c r="X2" t="s">
        <v>51</v>
      </c>
      <c r="Y2" t="s">
        <v>51</v>
      </c>
      <c r="Z2" t="s">
        <v>51</v>
      </c>
    </row>
    <row r="3" spans="1:28">
      <c r="A3" t="s">
        <v>4</v>
      </c>
      <c r="B3" t="s">
        <v>49</v>
      </c>
      <c r="C3" t="s">
        <v>52</v>
      </c>
      <c r="E3" t="s">
        <v>51</v>
      </c>
      <c r="F3" t="s">
        <v>51</v>
      </c>
      <c r="H3" t="s">
        <v>51</v>
      </c>
      <c r="I3" t="s">
        <v>51</v>
      </c>
      <c r="J3" t="s">
        <v>51</v>
      </c>
      <c r="K3" t="s">
        <v>51</v>
      </c>
      <c r="L3" t="s">
        <v>51</v>
      </c>
      <c r="M3" t="s">
        <v>51</v>
      </c>
      <c r="N3" t="s">
        <v>51</v>
      </c>
      <c r="O3">
        <v>4</v>
      </c>
      <c r="P3" t="s">
        <v>51</v>
      </c>
      <c r="Q3" t="s">
        <v>51</v>
      </c>
      <c r="R3" t="s">
        <v>51</v>
      </c>
      <c r="S3" t="s">
        <v>51</v>
      </c>
      <c r="T3" t="s">
        <v>51</v>
      </c>
      <c r="U3" t="s">
        <v>51</v>
      </c>
      <c r="V3" t="s">
        <v>51</v>
      </c>
      <c r="W3" t="s">
        <v>51</v>
      </c>
      <c r="X3" t="s">
        <v>51</v>
      </c>
      <c r="Y3" t="s">
        <v>53</v>
      </c>
      <c r="Z3" t="s">
        <v>51</v>
      </c>
      <c r="AA3" t="s">
        <v>54</v>
      </c>
      <c r="AB3" s="1"/>
    </row>
    <row r="4" spans="1:28">
      <c r="A4" t="s">
        <v>8</v>
      </c>
      <c r="B4" t="s">
        <v>49</v>
      </c>
      <c r="C4" t="s">
        <v>50</v>
      </c>
      <c r="D4" t="s">
        <v>55</v>
      </c>
      <c r="E4" t="s">
        <v>51</v>
      </c>
      <c r="F4" t="s">
        <v>51</v>
      </c>
      <c r="H4" t="s">
        <v>51</v>
      </c>
      <c r="I4" t="s">
        <v>51</v>
      </c>
      <c r="J4" t="s">
        <v>51</v>
      </c>
      <c r="K4" t="s">
        <v>51</v>
      </c>
      <c r="L4" t="s">
        <v>51</v>
      </c>
      <c r="M4" t="s">
        <v>51</v>
      </c>
      <c r="N4" t="s">
        <v>51</v>
      </c>
      <c r="O4" t="s">
        <v>51</v>
      </c>
      <c r="P4" t="s">
        <v>51</v>
      </c>
      <c r="Q4" t="s">
        <v>51</v>
      </c>
      <c r="R4">
        <v>8</v>
      </c>
      <c r="S4">
        <v>3</v>
      </c>
      <c r="T4">
        <v>3</v>
      </c>
      <c r="U4">
        <v>4</v>
      </c>
      <c r="V4">
        <v>7</v>
      </c>
      <c r="W4">
        <v>8</v>
      </c>
      <c r="X4">
        <f>(R4+S4+T4+(10-U4)+V4+W4)/6</f>
        <v>5.833333333333333</v>
      </c>
      <c r="Y4" t="s">
        <v>51</v>
      </c>
      <c r="Z4" t="s">
        <v>51</v>
      </c>
    </row>
    <row r="5" spans="1:28">
      <c r="A5" t="s">
        <v>8</v>
      </c>
      <c r="B5" t="s">
        <v>49</v>
      </c>
      <c r="C5" t="s">
        <v>52</v>
      </c>
      <c r="D5" t="s">
        <v>56</v>
      </c>
      <c r="E5" t="s">
        <v>51</v>
      </c>
      <c r="F5" t="s">
        <v>51</v>
      </c>
      <c r="H5" t="s">
        <v>51</v>
      </c>
      <c r="I5" t="s">
        <v>51</v>
      </c>
      <c r="J5" t="s">
        <v>51</v>
      </c>
      <c r="K5" t="s">
        <v>51</v>
      </c>
      <c r="L5" t="s">
        <v>51</v>
      </c>
      <c r="M5" t="s">
        <v>51</v>
      </c>
      <c r="N5" t="s">
        <v>51</v>
      </c>
      <c r="O5" t="s">
        <v>51</v>
      </c>
      <c r="P5" t="s">
        <v>51</v>
      </c>
      <c r="Q5" t="s">
        <v>51</v>
      </c>
      <c r="R5">
        <v>6</v>
      </c>
      <c r="S5">
        <v>3</v>
      </c>
      <c r="T5">
        <v>2</v>
      </c>
      <c r="U5">
        <v>6</v>
      </c>
      <c r="V5">
        <v>7</v>
      </c>
      <c r="W5">
        <v>6</v>
      </c>
      <c r="X5">
        <f>(R5+S5+T5+(10-U5)+V5+W5)/6</f>
        <v>4.666666666666667</v>
      </c>
      <c r="Y5" t="s">
        <v>51</v>
      </c>
      <c r="Z5" t="s">
        <v>51</v>
      </c>
    </row>
    <row r="6" spans="1:28">
      <c r="A6" t="s">
        <v>9</v>
      </c>
      <c r="B6" t="s">
        <v>10</v>
      </c>
      <c r="C6" t="s">
        <v>50</v>
      </c>
      <c r="D6" t="s">
        <v>57</v>
      </c>
      <c r="E6" t="s">
        <v>51</v>
      </c>
      <c r="F6" t="s">
        <v>51</v>
      </c>
      <c r="H6" t="s">
        <v>51</v>
      </c>
      <c r="I6" t="s">
        <v>51</v>
      </c>
      <c r="J6" t="s">
        <v>51</v>
      </c>
      <c r="K6" t="s">
        <v>51</v>
      </c>
      <c r="L6" t="s">
        <v>51</v>
      </c>
      <c r="M6" t="s">
        <v>51</v>
      </c>
      <c r="N6" t="s">
        <v>51</v>
      </c>
      <c r="O6" t="s">
        <v>51</v>
      </c>
      <c r="P6" t="s">
        <v>51</v>
      </c>
      <c r="Q6" t="s">
        <v>51</v>
      </c>
      <c r="R6" t="s">
        <v>51</v>
      </c>
      <c r="S6" t="s">
        <v>51</v>
      </c>
      <c r="T6" t="s">
        <v>51</v>
      </c>
      <c r="U6" t="s">
        <v>51</v>
      </c>
      <c r="V6" t="s">
        <v>51</v>
      </c>
      <c r="W6" t="s">
        <v>51</v>
      </c>
      <c r="X6" t="s">
        <v>51</v>
      </c>
      <c r="Y6" t="s">
        <v>51</v>
      </c>
      <c r="Z6" t="s">
        <v>51</v>
      </c>
    </row>
    <row r="7" spans="1:28">
      <c r="A7" t="s">
        <v>9</v>
      </c>
      <c r="B7" t="s">
        <v>10</v>
      </c>
      <c r="C7" t="s">
        <v>52</v>
      </c>
      <c r="D7" t="s">
        <v>58</v>
      </c>
      <c r="E7" t="s">
        <v>51</v>
      </c>
      <c r="F7" t="s">
        <v>51</v>
      </c>
      <c r="H7" t="s">
        <v>51</v>
      </c>
      <c r="I7" t="s">
        <v>51</v>
      </c>
      <c r="J7" t="s">
        <v>51</v>
      </c>
      <c r="K7" t="s">
        <v>51</v>
      </c>
      <c r="L7" t="s">
        <v>51</v>
      </c>
      <c r="M7" t="s">
        <v>51</v>
      </c>
      <c r="N7" t="s">
        <v>51</v>
      </c>
      <c r="O7" t="s">
        <v>51</v>
      </c>
      <c r="P7" t="s">
        <v>51</v>
      </c>
      <c r="Q7" t="s">
        <v>51</v>
      </c>
      <c r="R7" t="s">
        <v>51</v>
      </c>
      <c r="S7" t="s">
        <v>51</v>
      </c>
      <c r="T7" t="s">
        <v>51</v>
      </c>
      <c r="U7" t="s">
        <v>51</v>
      </c>
      <c r="V7" t="s">
        <v>51</v>
      </c>
      <c r="W7" t="s">
        <v>51</v>
      </c>
      <c r="X7" t="s">
        <v>51</v>
      </c>
      <c r="Y7" t="s">
        <v>51</v>
      </c>
      <c r="Z7" t="s">
        <v>51</v>
      </c>
    </row>
    <row r="8" spans="1:28">
      <c r="A8" t="s">
        <v>12</v>
      </c>
      <c r="B8" t="s">
        <v>10</v>
      </c>
      <c r="C8" t="s">
        <v>50</v>
      </c>
      <c r="D8" t="s">
        <v>55</v>
      </c>
      <c r="E8" t="s">
        <v>51</v>
      </c>
      <c r="F8" t="s">
        <v>51</v>
      </c>
      <c r="H8" t="s">
        <v>51</v>
      </c>
      <c r="I8" t="s">
        <v>51</v>
      </c>
      <c r="J8" t="s">
        <v>51</v>
      </c>
      <c r="K8" t="s">
        <v>51</v>
      </c>
      <c r="L8" t="s">
        <v>51</v>
      </c>
      <c r="M8" t="s">
        <v>51</v>
      </c>
      <c r="N8" t="s">
        <v>51</v>
      </c>
      <c r="O8" t="s">
        <v>51</v>
      </c>
      <c r="P8" t="s">
        <v>51</v>
      </c>
      <c r="Q8" t="s">
        <v>51</v>
      </c>
      <c r="R8" t="s">
        <v>51</v>
      </c>
      <c r="S8" t="s">
        <v>51</v>
      </c>
      <c r="T8" t="s">
        <v>51</v>
      </c>
      <c r="U8" t="s">
        <v>51</v>
      </c>
      <c r="V8" t="s">
        <v>51</v>
      </c>
      <c r="W8" t="s">
        <v>51</v>
      </c>
      <c r="X8" t="s">
        <v>51</v>
      </c>
      <c r="Y8" t="s">
        <v>51</v>
      </c>
      <c r="Z8" t="s">
        <v>51</v>
      </c>
    </row>
    <row r="9" spans="1:28">
      <c r="A9" t="s">
        <v>12</v>
      </c>
      <c r="B9" t="s">
        <v>10</v>
      </c>
      <c r="C9" t="s">
        <v>52</v>
      </c>
      <c r="D9" t="s">
        <v>58</v>
      </c>
      <c r="E9" t="s">
        <v>51</v>
      </c>
      <c r="F9" t="s">
        <v>51</v>
      </c>
      <c r="H9" t="s">
        <v>51</v>
      </c>
      <c r="I9" t="s">
        <v>51</v>
      </c>
      <c r="J9" t="s">
        <v>51</v>
      </c>
      <c r="K9" t="s">
        <v>51</v>
      </c>
      <c r="L9" t="s">
        <v>51</v>
      </c>
      <c r="M9" t="s">
        <v>51</v>
      </c>
      <c r="N9" t="s">
        <v>51</v>
      </c>
      <c r="O9" t="s">
        <v>51</v>
      </c>
      <c r="P9" t="s">
        <v>51</v>
      </c>
      <c r="Q9" t="s">
        <v>51</v>
      </c>
      <c r="R9" t="s">
        <v>51</v>
      </c>
      <c r="S9" t="s">
        <v>51</v>
      </c>
      <c r="T9" t="s">
        <v>51</v>
      </c>
      <c r="U9" t="s">
        <v>51</v>
      </c>
      <c r="V9" t="s">
        <v>51</v>
      </c>
      <c r="W9" t="s">
        <v>51</v>
      </c>
      <c r="X9" t="s">
        <v>51</v>
      </c>
      <c r="Y9" t="s">
        <v>51</v>
      </c>
      <c r="Z9" t="s">
        <v>51</v>
      </c>
    </row>
    <row r="10" spans="1:28">
      <c r="A10" t="s">
        <v>13</v>
      </c>
      <c r="B10" t="s">
        <v>10</v>
      </c>
      <c r="C10" t="s">
        <v>50</v>
      </c>
      <c r="D10" t="s">
        <v>58</v>
      </c>
      <c r="E10" t="s">
        <v>51</v>
      </c>
      <c r="F10" t="s">
        <v>51</v>
      </c>
      <c r="H10" t="s">
        <v>51</v>
      </c>
      <c r="I10" t="s">
        <v>51</v>
      </c>
      <c r="J10" t="s">
        <v>51</v>
      </c>
      <c r="K10" t="s">
        <v>51</v>
      </c>
      <c r="L10" t="s">
        <v>51</v>
      </c>
      <c r="M10" t="s">
        <v>51</v>
      </c>
      <c r="N10" t="s">
        <v>51</v>
      </c>
      <c r="O10" t="s">
        <v>51</v>
      </c>
      <c r="P10" t="s">
        <v>51</v>
      </c>
      <c r="Q10" t="s">
        <v>51</v>
      </c>
      <c r="R10" t="s">
        <v>51</v>
      </c>
      <c r="S10" t="s">
        <v>51</v>
      </c>
      <c r="T10" t="s">
        <v>51</v>
      </c>
      <c r="U10" t="s">
        <v>51</v>
      </c>
      <c r="V10" t="s">
        <v>51</v>
      </c>
      <c r="W10" t="s">
        <v>51</v>
      </c>
      <c r="X10" t="s">
        <v>51</v>
      </c>
      <c r="Y10" t="s">
        <v>51</v>
      </c>
      <c r="Z10" t="s">
        <v>51</v>
      </c>
    </row>
    <row r="11" spans="1:28">
      <c r="A11" t="s">
        <v>13</v>
      </c>
      <c r="B11" t="s">
        <v>10</v>
      </c>
      <c r="C11" t="s">
        <v>52</v>
      </c>
      <c r="D11" t="s">
        <v>55</v>
      </c>
      <c r="E11" t="s">
        <v>51</v>
      </c>
      <c r="F11" t="s">
        <v>51</v>
      </c>
      <c r="H11" t="s">
        <v>51</v>
      </c>
      <c r="I11" t="s">
        <v>51</v>
      </c>
      <c r="J11" t="s">
        <v>51</v>
      </c>
      <c r="K11" t="s">
        <v>51</v>
      </c>
      <c r="L11" t="s">
        <v>51</v>
      </c>
      <c r="M11" t="s">
        <v>51</v>
      </c>
      <c r="N11" t="s">
        <v>51</v>
      </c>
      <c r="O11" t="s">
        <v>51</v>
      </c>
      <c r="P11" t="s">
        <v>51</v>
      </c>
      <c r="Q11" t="s">
        <v>51</v>
      </c>
      <c r="R11" t="s">
        <v>51</v>
      </c>
      <c r="S11" t="s">
        <v>51</v>
      </c>
      <c r="T11" t="s">
        <v>51</v>
      </c>
      <c r="U11" t="s">
        <v>51</v>
      </c>
      <c r="V11" t="s">
        <v>51</v>
      </c>
      <c r="W11" t="s">
        <v>51</v>
      </c>
      <c r="X11" t="s">
        <v>51</v>
      </c>
      <c r="Y11" t="s">
        <v>51</v>
      </c>
      <c r="Z11" t="s">
        <v>51</v>
      </c>
    </row>
    <row r="12" spans="1:28">
      <c r="A12" t="s">
        <v>14</v>
      </c>
      <c r="B12" t="s">
        <v>49</v>
      </c>
      <c r="C12" t="s">
        <v>50</v>
      </c>
      <c r="D12" t="s">
        <v>55</v>
      </c>
      <c r="E12" t="s">
        <v>51</v>
      </c>
      <c r="F12" t="s">
        <v>51</v>
      </c>
      <c r="H12" t="s">
        <v>51</v>
      </c>
      <c r="I12" t="s">
        <v>51</v>
      </c>
      <c r="J12" t="s">
        <v>51</v>
      </c>
      <c r="K12" t="s">
        <v>51</v>
      </c>
      <c r="L12" t="s">
        <v>51</v>
      </c>
      <c r="M12" t="s">
        <v>51</v>
      </c>
      <c r="N12" t="s">
        <v>51</v>
      </c>
      <c r="O12" t="s">
        <v>51</v>
      </c>
      <c r="P12" t="s">
        <v>51</v>
      </c>
      <c r="Q12" t="s">
        <v>51</v>
      </c>
      <c r="R12">
        <v>0</v>
      </c>
      <c r="S12">
        <v>1</v>
      </c>
      <c r="T12">
        <v>0</v>
      </c>
      <c r="U12">
        <v>10</v>
      </c>
      <c r="V12">
        <v>1</v>
      </c>
      <c r="W12">
        <v>0</v>
      </c>
      <c r="X12">
        <f>(R12+S12+T12+(10-U12)+V12+W12)/6</f>
        <v>0.33333333333333331</v>
      </c>
      <c r="Y12" t="s">
        <v>51</v>
      </c>
      <c r="Z12" t="s">
        <v>51</v>
      </c>
    </row>
    <row r="13" spans="1:28">
      <c r="A13" t="s">
        <v>14</v>
      </c>
      <c r="B13" t="s">
        <v>49</v>
      </c>
      <c r="C13" t="s">
        <v>52</v>
      </c>
      <c r="D13" t="s">
        <v>56</v>
      </c>
      <c r="E13" t="s">
        <v>51</v>
      </c>
      <c r="F13" t="s">
        <v>51</v>
      </c>
      <c r="H13" t="s">
        <v>51</v>
      </c>
      <c r="I13" t="s">
        <v>51</v>
      </c>
      <c r="J13" t="s">
        <v>51</v>
      </c>
      <c r="K13" t="s">
        <v>51</v>
      </c>
      <c r="L13" t="s">
        <v>51</v>
      </c>
      <c r="M13" t="s">
        <v>51</v>
      </c>
      <c r="N13" t="s">
        <v>51</v>
      </c>
      <c r="O13" t="s">
        <v>51</v>
      </c>
      <c r="P13" t="s">
        <v>51</v>
      </c>
      <c r="Q13" t="s">
        <v>51</v>
      </c>
      <c r="R13">
        <v>1</v>
      </c>
      <c r="S13">
        <v>2</v>
      </c>
      <c r="T13">
        <v>0</v>
      </c>
      <c r="U13">
        <v>10</v>
      </c>
      <c r="V13">
        <v>1</v>
      </c>
      <c r="W13">
        <v>0</v>
      </c>
      <c r="X13">
        <f>(R13+S13+T13+(10-U13)+V13+W13)/6</f>
        <v>0.66666666666666663</v>
      </c>
      <c r="Y13" t="s">
        <v>51</v>
      </c>
      <c r="Z13" t="s">
        <v>51</v>
      </c>
    </row>
    <row r="14" spans="1:28">
      <c r="A14" t="s">
        <v>15</v>
      </c>
      <c r="B14" t="s">
        <v>49</v>
      </c>
      <c r="C14" t="s">
        <v>50</v>
      </c>
      <c r="D14" t="s">
        <v>58</v>
      </c>
      <c r="E14" t="s">
        <v>51</v>
      </c>
      <c r="F14" t="s">
        <v>51</v>
      </c>
      <c r="H14" t="s">
        <v>51</v>
      </c>
      <c r="I14" t="s">
        <v>51</v>
      </c>
      <c r="J14" t="s">
        <v>51</v>
      </c>
      <c r="K14" t="s">
        <v>51</v>
      </c>
      <c r="L14" t="s">
        <v>51</v>
      </c>
      <c r="M14" t="s">
        <v>51</v>
      </c>
      <c r="N14" t="s">
        <v>51</v>
      </c>
      <c r="O14" t="s">
        <v>51</v>
      </c>
      <c r="P14" t="s">
        <v>51</v>
      </c>
      <c r="Q14" t="s">
        <v>51</v>
      </c>
      <c r="R14">
        <v>5</v>
      </c>
      <c r="S14">
        <v>6</v>
      </c>
      <c r="T14">
        <v>4</v>
      </c>
      <c r="U14">
        <v>8</v>
      </c>
      <c r="V14">
        <v>8</v>
      </c>
      <c r="W14">
        <v>4</v>
      </c>
      <c r="X14">
        <f>(R14+S14+T14+(10-U14)+V14+W14)/6</f>
        <v>4.833333333333333</v>
      </c>
      <c r="Y14" t="s">
        <v>51</v>
      </c>
      <c r="Z14" t="s">
        <v>51</v>
      </c>
    </row>
    <row r="15" spans="1:28">
      <c r="A15" t="s">
        <v>15</v>
      </c>
      <c r="B15" t="s">
        <v>49</v>
      </c>
      <c r="C15" t="s">
        <v>52</v>
      </c>
      <c r="D15" t="s">
        <v>57</v>
      </c>
      <c r="E15" t="s">
        <v>51</v>
      </c>
      <c r="F15" t="s">
        <v>51</v>
      </c>
      <c r="H15" t="s">
        <v>51</v>
      </c>
      <c r="I15" t="s">
        <v>51</v>
      </c>
      <c r="J15" t="s">
        <v>51</v>
      </c>
      <c r="K15" t="s">
        <v>51</v>
      </c>
      <c r="L15" t="s">
        <v>51</v>
      </c>
      <c r="M15" t="s">
        <v>51</v>
      </c>
      <c r="N15" t="s">
        <v>51</v>
      </c>
      <c r="O15" t="s">
        <v>51</v>
      </c>
      <c r="P15" t="s">
        <v>51</v>
      </c>
      <c r="Q15" t="s">
        <v>51</v>
      </c>
      <c r="R15">
        <v>5</v>
      </c>
      <c r="S15">
        <v>1</v>
      </c>
      <c r="T15">
        <v>1</v>
      </c>
      <c r="U15">
        <v>10</v>
      </c>
      <c r="V15">
        <v>7</v>
      </c>
      <c r="W15">
        <v>0</v>
      </c>
      <c r="X15">
        <f>(R15+S15+T15+(10-U15)+V15+W15)/6</f>
        <v>2.3333333333333335</v>
      </c>
      <c r="Y15" t="s">
        <v>51</v>
      </c>
      <c r="Z15" t="s">
        <v>51</v>
      </c>
    </row>
    <row r="16" spans="1:28">
      <c r="A16" t="s">
        <v>16</v>
      </c>
      <c r="B16" t="s">
        <v>49</v>
      </c>
      <c r="C16" t="s">
        <v>50</v>
      </c>
      <c r="D16" t="s">
        <v>56</v>
      </c>
      <c r="E16" t="s">
        <v>51</v>
      </c>
      <c r="F16" t="s">
        <v>51</v>
      </c>
      <c r="H16" t="s">
        <v>51</v>
      </c>
      <c r="I16" t="s">
        <v>51</v>
      </c>
      <c r="J16" t="s">
        <v>51</v>
      </c>
      <c r="K16" t="s">
        <v>51</v>
      </c>
      <c r="L16" t="s">
        <v>51</v>
      </c>
      <c r="M16" t="s">
        <v>51</v>
      </c>
      <c r="N16" t="s">
        <v>51</v>
      </c>
      <c r="O16" t="s">
        <v>51</v>
      </c>
      <c r="P16" t="s">
        <v>51</v>
      </c>
      <c r="Q16" t="s">
        <v>51</v>
      </c>
      <c r="R16">
        <v>7</v>
      </c>
      <c r="S16">
        <v>1</v>
      </c>
      <c r="T16">
        <v>0</v>
      </c>
      <c r="U16">
        <v>9</v>
      </c>
      <c r="V16">
        <v>6</v>
      </c>
      <c r="W16">
        <v>8</v>
      </c>
      <c r="X16">
        <f>(R16+S16+T16+(10-U16)+V16+W16)/6</f>
        <v>3.8333333333333335</v>
      </c>
      <c r="Y16" t="s">
        <v>51</v>
      </c>
      <c r="Z16" t="s">
        <v>51</v>
      </c>
    </row>
    <row r="17" spans="1:26">
      <c r="A17" t="s">
        <v>16</v>
      </c>
      <c r="B17" t="s">
        <v>49</v>
      </c>
      <c r="C17" t="s">
        <v>52</v>
      </c>
      <c r="D17" t="s">
        <v>57</v>
      </c>
      <c r="E17" t="s">
        <v>51</v>
      </c>
      <c r="F17" t="s">
        <v>51</v>
      </c>
      <c r="H17" t="s">
        <v>51</v>
      </c>
      <c r="I17" t="s">
        <v>51</v>
      </c>
      <c r="J17" t="s">
        <v>51</v>
      </c>
      <c r="K17" t="s">
        <v>51</v>
      </c>
      <c r="L17" t="s">
        <v>51</v>
      </c>
      <c r="M17" t="s">
        <v>51</v>
      </c>
      <c r="N17" t="s">
        <v>51</v>
      </c>
      <c r="O17" t="s">
        <v>51</v>
      </c>
      <c r="P17" t="s">
        <v>51</v>
      </c>
      <c r="Q17" t="s">
        <v>51</v>
      </c>
      <c r="R17">
        <v>1</v>
      </c>
      <c r="S17">
        <v>1</v>
      </c>
      <c r="T17">
        <v>1</v>
      </c>
      <c r="U17">
        <v>10</v>
      </c>
      <c r="V17">
        <v>2</v>
      </c>
      <c r="W17">
        <v>1</v>
      </c>
      <c r="X17">
        <f>(R17+S17+T17+(10-U17)+V17+W17)/6</f>
        <v>1</v>
      </c>
      <c r="Y17" t="s">
        <v>51</v>
      </c>
      <c r="Z17" t="s">
        <v>51</v>
      </c>
    </row>
    <row r="18" spans="1:26">
      <c r="A18" t="s">
        <v>17</v>
      </c>
      <c r="B18" t="s">
        <v>49</v>
      </c>
      <c r="C18" t="s">
        <v>50</v>
      </c>
      <c r="D18" t="s">
        <v>57</v>
      </c>
      <c r="E18" t="s">
        <v>51</v>
      </c>
      <c r="F18" t="s">
        <v>51</v>
      </c>
      <c r="H18" t="s">
        <v>51</v>
      </c>
      <c r="I18" t="s">
        <v>51</v>
      </c>
      <c r="J18" t="s">
        <v>51</v>
      </c>
      <c r="K18" t="s">
        <v>51</v>
      </c>
      <c r="L18" t="s">
        <v>51</v>
      </c>
      <c r="M18" t="s">
        <v>51</v>
      </c>
      <c r="N18" t="s">
        <v>51</v>
      </c>
      <c r="O18" t="s">
        <v>51</v>
      </c>
      <c r="P18" t="s">
        <v>51</v>
      </c>
      <c r="Q18" t="s">
        <v>51</v>
      </c>
      <c r="R18">
        <v>2</v>
      </c>
      <c r="S18">
        <v>2</v>
      </c>
      <c r="T18">
        <v>0</v>
      </c>
      <c r="U18">
        <v>4</v>
      </c>
      <c r="V18">
        <v>1</v>
      </c>
      <c r="W18">
        <v>0</v>
      </c>
      <c r="X18">
        <f>(R18+S18+T18+(10-U18)+V18+W18)/6</f>
        <v>1.8333333333333333</v>
      </c>
      <c r="Y18" t="s">
        <v>51</v>
      </c>
      <c r="Z18" t="s">
        <v>51</v>
      </c>
    </row>
    <row r="19" spans="1:26">
      <c r="A19" t="s">
        <v>17</v>
      </c>
      <c r="B19" t="s">
        <v>49</v>
      </c>
      <c r="C19" t="s">
        <v>52</v>
      </c>
      <c r="D19" t="s">
        <v>56</v>
      </c>
      <c r="E19" t="s">
        <v>51</v>
      </c>
      <c r="F19" t="s">
        <v>51</v>
      </c>
      <c r="H19" t="s">
        <v>51</v>
      </c>
      <c r="I19" t="s">
        <v>51</v>
      </c>
      <c r="J19" t="s">
        <v>51</v>
      </c>
      <c r="K19" t="s">
        <v>51</v>
      </c>
      <c r="L19" t="s">
        <v>51</v>
      </c>
      <c r="M19" t="s">
        <v>51</v>
      </c>
      <c r="N19" t="s">
        <v>51</v>
      </c>
      <c r="O19" t="s">
        <v>51</v>
      </c>
      <c r="P19" t="s">
        <v>51</v>
      </c>
      <c r="Q19" t="s">
        <v>51</v>
      </c>
      <c r="R19">
        <v>2</v>
      </c>
      <c r="S19">
        <v>3</v>
      </c>
      <c r="T19">
        <v>0</v>
      </c>
      <c r="U19">
        <v>7</v>
      </c>
      <c r="V19">
        <v>3</v>
      </c>
      <c r="W19">
        <v>0</v>
      </c>
      <c r="X19">
        <f>(R19+S19+T19+(10-U19)+V19+W19)/6</f>
        <v>1.8333333333333333</v>
      </c>
      <c r="Y19" t="s">
        <v>51</v>
      </c>
      <c r="Z19" t="s">
        <v>51</v>
      </c>
    </row>
    <row r="20" spans="1:26">
      <c r="A20" t="s">
        <v>18</v>
      </c>
      <c r="B20" t="s">
        <v>49</v>
      </c>
      <c r="C20" t="s">
        <v>50</v>
      </c>
      <c r="D20" t="s">
        <v>55</v>
      </c>
      <c r="E20" t="s">
        <v>51</v>
      </c>
      <c r="F20" t="s">
        <v>51</v>
      </c>
      <c r="H20" t="s">
        <v>51</v>
      </c>
      <c r="I20" t="s">
        <v>51</v>
      </c>
      <c r="J20" t="s">
        <v>51</v>
      </c>
      <c r="K20" t="s">
        <v>51</v>
      </c>
      <c r="L20" t="s">
        <v>51</v>
      </c>
      <c r="M20" t="s">
        <v>51</v>
      </c>
      <c r="N20" t="s">
        <v>51</v>
      </c>
      <c r="O20" t="s">
        <v>51</v>
      </c>
      <c r="P20" t="s">
        <v>51</v>
      </c>
      <c r="Q20" t="s">
        <v>51</v>
      </c>
      <c r="R20">
        <v>3</v>
      </c>
      <c r="S20">
        <v>0</v>
      </c>
      <c r="T20">
        <v>0</v>
      </c>
      <c r="U20">
        <v>6</v>
      </c>
      <c r="V20">
        <v>4</v>
      </c>
      <c r="W20">
        <v>0</v>
      </c>
      <c r="X20">
        <f>(R20+S20+T20+(10-U20)+V20+W20)/6</f>
        <v>1.8333333333333333</v>
      </c>
      <c r="Y20" t="s">
        <v>51</v>
      </c>
      <c r="Z20" t="s">
        <v>51</v>
      </c>
    </row>
    <row r="21" spans="1:26">
      <c r="A21" t="s">
        <v>18</v>
      </c>
      <c r="B21" t="s">
        <v>49</v>
      </c>
      <c r="C21" t="s">
        <v>52</v>
      </c>
      <c r="D21" t="s">
        <v>58</v>
      </c>
      <c r="E21" t="s">
        <v>51</v>
      </c>
      <c r="F21" t="s">
        <v>51</v>
      </c>
      <c r="H21" t="s">
        <v>51</v>
      </c>
      <c r="I21" t="s">
        <v>51</v>
      </c>
      <c r="J21" t="s">
        <v>51</v>
      </c>
      <c r="K21" t="s">
        <v>51</v>
      </c>
      <c r="L21" t="s">
        <v>51</v>
      </c>
      <c r="M21" t="s">
        <v>51</v>
      </c>
      <c r="N21" t="s">
        <v>51</v>
      </c>
      <c r="O21" t="s">
        <v>51</v>
      </c>
      <c r="P21" t="s">
        <v>51</v>
      </c>
      <c r="Q21" t="s">
        <v>51</v>
      </c>
      <c r="R21">
        <v>1</v>
      </c>
      <c r="S21">
        <v>2</v>
      </c>
      <c r="T21">
        <v>0</v>
      </c>
      <c r="U21">
        <v>9</v>
      </c>
      <c r="V21">
        <v>5</v>
      </c>
      <c r="W21">
        <v>0</v>
      </c>
      <c r="X21">
        <f>(R21+S21+T21+(10-U21)+V21+W21)/6</f>
        <v>1.5</v>
      </c>
      <c r="Y21" t="s">
        <v>51</v>
      </c>
      <c r="Z21" t="s">
        <v>51</v>
      </c>
    </row>
    <row r="22" spans="1:26">
      <c r="A22" t="s">
        <v>19</v>
      </c>
      <c r="B22" t="s">
        <v>49</v>
      </c>
      <c r="C22" t="s">
        <v>50</v>
      </c>
      <c r="D22" t="s">
        <v>57</v>
      </c>
      <c r="E22" t="s">
        <v>51</v>
      </c>
      <c r="F22" t="s">
        <v>51</v>
      </c>
      <c r="H22" t="s">
        <v>51</v>
      </c>
      <c r="I22" t="s">
        <v>51</v>
      </c>
      <c r="J22" t="s">
        <v>51</v>
      </c>
      <c r="K22" t="s">
        <v>51</v>
      </c>
      <c r="L22" t="s">
        <v>51</v>
      </c>
      <c r="M22" t="s">
        <v>51</v>
      </c>
      <c r="N22" t="s">
        <v>51</v>
      </c>
      <c r="O22" t="s">
        <v>51</v>
      </c>
      <c r="P22" t="s">
        <v>51</v>
      </c>
      <c r="Q22" t="s">
        <v>51</v>
      </c>
      <c r="R22">
        <v>1</v>
      </c>
      <c r="S22">
        <v>1</v>
      </c>
      <c r="T22">
        <v>1</v>
      </c>
      <c r="U22">
        <v>10</v>
      </c>
      <c r="V22">
        <v>3</v>
      </c>
      <c r="W22">
        <v>1</v>
      </c>
      <c r="X22">
        <f>(R22+S22+T22+(10-U22)+V22+W22)/6</f>
        <v>1.1666666666666667</v>
      </c>
      <c r="Y22" t="s">
        <v>51</v>
      </c>
      <c r="Z22" t="s">
        <v>51</v>
      </c>
    </row>
    <row r="23" spans="1:26">
      <c r="A23" t="s">
        <v>19</v>
      </c>
      <c r="B23" t="s">
        <v>49</v>
      </c>
      <c r="C23" t="s">
        <v>52</v>
      </c>
      <c r="D23" t="s">
        <v>58</v>
      </c>
      <c r="E23" t="s">
        <v>51</v>
      </c>
      <c r="F23" t="s">
        <v>51</v>
      </c>
      <c r="H23" t="s">
        <v>51</v>
      </c>
      <c r="I23" t="s">
        <v>51</v>
      </c>
      <c r="J23" t="s">
        <v>51</v>
      </c>
      <c r="K23" t="s">
        <v>51</v>
      </c>
      <c r="L23" t="s">
        <v>51</v>
      </c>
      <c r="M23" t="s">
        <v>51</v>
      </c>
      <c r="N23" t="s">
        <v>51</v>
      </c>
      <c r="O23" t="s">
        <v>51</v>
      </c>
      <c r="P23" t="s">
        <v>51</v>
      </c>
      <c r="Q23" t="s">
        <v>51</v>
      </c>
      <c r="R23">
        <v>1</v>
      </c>
      <c r="S23">
        <v>1</v>
      </c>
      <c r="T23">
        <v>1</v>
      </c>
      <c r="U23">
        <v>10</v>
      </c>
      <c r="V23">
        <v>3</v>
      </c>
      <c r="W23">
        <v>1</v>
      </c>
      <c r="X23">
        <f>(R23+S23+T23+(10-U23)+V23+W23)/6</f>
        <v>1.1666666666666667</v>
      </c>
      <c r="Y23" t="s">
        <v>51</v>
      </c>
      <c r="Z23" t="s">
        <v>51</v>
      </c>
    </row>
    <row r="24" spans="1:26">
      <c r="A24" t="s">
        <v>20</v>
      </c>
      <c r="B24" t="s">
        <v>49</v>
      </c>
      <c r="C24" t="s">
        <v>50</v>
      </c>
      <c r="D24" t="s">
        <v>55</v>
      </c>
      <c r="E24" t="s">
        <v>51</v>
      </c>
      <c r="F24" t="s">
        <v>51</v>
      </c>
      <c r="H24" t="s">
        <v>51</v>
      </c>
      <c r="I24" t="s">
        <v>51</v>
      </c>
      <c r="J24" t="s">
        <v>51</v>
      </c>
      <c r="K24" t="s">
        <v>51</v>
      </c>
      <c r="L24" t="s">
        <v>51</v>
      </c>
      <c r="M24" t="s">
        <v>51</v>
      </c>
      <c r="N24" t="s">
        <v>51</v>
      </c>
      <c r="O24" t="s">
        <v>51</v>
      </c>
      <c r="P24" t="s">
        <v>51</v>
      </c>
      <c r="Q24" t="s">
        <v>51</v>
      </c>
      <c r="R24">
        <v>6</v>
      </c>
      <c r="S24">
        <v>0</v>
      </c>
      <c r="T24">
        <v>2</v>
      </c>
      <c r="U24">
        <v>10</v>
      </c>
      <c r="V24">
        <v>4</v>
      </c>
      <c r="W24">
        <v>5</v>
      </c>
      <c r="X24">
        <f>(R24+S24+T24+(10-U24)+V24+W24)/6</f>
        <v>2.8333333333333335</v>
      </c>
      <c r="Y24" t="s">
        <v>51</v>
      </c>
      <c r="Z24" t="s">
        <v>51</v>
      </c>
    </row>
    <row r="25" spans="1:26">
      <c r="A25" t="s">
        <v>20</v>
      </c>
      <c r="B25" t="s">
        <v>49</v>
      </c>
      <c r="C25" t="s">
        <v>52</v>
      </c>
      <c r="D25" t="s">
        <v>58</v>
      </c>
      <c r="E25" t="s">
        <v>51</v>
      </c>
      <c r="F25" t="s">
        <v>51</v>
      </c>
      <c r="H25" t="s">
        <v>51</v>
      </c>
      <c r="I25" t="s">
        <v>51</v>
      </c>
      <c r="J25" t="s">
        <v>51</v>
      </c>
      <c r="K25" t="s">
        <v>51</v>
      </c>
      <c r="L25" t="s">
        <v>51</v>
      </c>
      <c r="M25" t="s">
        <v>51</v>
      </c>
      <c r="N25" t="s">
        <v>51</v>
      </c>
      <c r="O25" t="s">
        <v>51</v>
      </c>
      <c r="P25" t="s">
        <v>51</v>
      </c>
      <c r="Q25" t="s">
        <v>51</v>
      </c>
      <c r="R25">
        <v>5</v>
      </c>
      <c r="S25">
        <v>1</v>
      </c>
      <c r="T25">
        <v>1</v>
      </c>
      <c r="U25">
        <v>10</v>
      </c>
      <c r="V25">
        <v>3</v>
      </c>
      <c r="W25">
        <v>4</v>
      </c>
      <c r="X25">
        <f>(R25+S25+T25+(10-U25)+V25+W25)/6</f>
        <v>2.3333333333333335</v>
      </c>
      <c r="Y25" t="s">
        <v>51</v>
      </c>
      <c r="Z25" t="s">
        <v>51</v>
      </c>
    </row>
    <row r="26" spans="1:26">
      <c r="A26" t="s">
        <v>21</v>
      </c>
      <c r="B26" t="s">
        <v>49</v>
      </c>
      <c r="C26" t="s">
        <v>50</v>
      </c>
      <c r="D26" t="s">
        <v>58</v>
      </c>
      <c r="E26" t="s">
        <v>51</v>
      </c>
      <c r="F26" t="s">
        <v>51</v>
      </c>
      <c r="H26" t="s">
        <v>51</v>
      </c>
      <c r="I26" t="s">
        <v>51</v>
      </c>
      <c r="J26" t="s">
        <v>51</v>
      </c>
      <c r="K26" t="s">
        <v>51</v>
      </c>
      <c r="L26" t="s">
        <v>51</v>
      </c>
      <c r="M26" t="s">
        <v>51</v>
      </c>
      <c r="N26" t="s">
        <v>51</v>
      </c>
      <c r="O26" t="s">
        <v>51</v>
      </c>
      <c r="P26" t="s">
        <v>51</v>
      </c>
      <c r="Q26" t="s">
        <v>51</v>
      </c>
      <c r="R26">
        <v>6</v>
      </c>
      <c r="S26">
        <v>3</v>
      </c>
      <c r="T26">
        <v>4</v>
      </c>
      <c r="U26">
        <v>8</v>
      </c>
      <c r="V26">
        <v>4</v>
      </c>
      <c r="W26">
        <v>5</v>
      </c>
      <c r="X26">
        <f>(R26+S26+T26+(10-U26)+V26+W26)/6</f>
        <v>4</v>
      </c>
      <c r="Y26" t="s">
        <v>51</v>
      </c>
      <c r="Z26" t="s">
        <v>51</v>
      </c>
    </row>
    <row r="27" spans="1:26">
      <c r="A27" t="s">
        <v>21</v>
      </c>
      <c r="B27" t="s">
        <v>49</v>
      </c>
      <c r="C27" t="s">
        <v>52</v>
      </c>
      <c r="D27" t="s">
        <v>55</v>
      </c>
      <c r="E27" t="s">
        <v>51</v>
      </c>
      <c r="F27" t="s">
        <v>51</v>
      </c>
      <c r="H27" t="s">
        <v>51</v>
      </c>
      <c r="I27" t="s">
        <v>51</v>
      </c>
      <c r="J27" t="s">
        <v>51</v>
      </c>
      <c r="K27" t="s">
        <v>51</v>
      </c>
      <c r="L27" t="s">
        <v>51</v>
      </c>
      <c r="M27" t="s">
        <v>51</v>
      </c>
      <c r="N27" t="s">
        <v>51</v>
      </c>
      <c r="O27" t="s">
        <v>51</v>
      </c>
      <c r="P27" t="s">
        <v>51</v>
      </c>
      <c r="Q27" t="s">
        <v>51</v>
      </c>
      <c r="R27">
        <v>6</v>
      </c>
      <c r="S27">
        <v>2</v>
      </c>
      <c r="T27">
        <v>2</v>
      </c>
      <c r="U27">
        <v>6</v>
      </c>
      <c r="V27">
        <v>5</v>
      </c>
      <c r="W27">
        <v>6</v>
      </c>
      <c r="X27">
        <f>(R27+S27+T27+(10-U27)+V27+W27)/6</f>
        <v>4.166666666666667</v>
      </c>
      <c r="Y27" t="s">
        <v>51</v>
      </c>
      <c r="Z27" t="s">
        <v>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4"/>
  <sheetViews>
    <sheetView workbookViewId="0"/>
  </sheetViews>
  <sheetFormatPr defaultRowHeight="15"/>
  <sheetData>
    <row r="1" spans="1:13">
      <c r="A1" t="s">
        <v>0</v>
      </c>
      <c r="B1" t="s">
        <v>2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  <c r="M1" t="s">
        <v>69</v>
      </c>
    </row>
    <row r="2" spans="1:13">
      <c r="A2" t="s">
        <v>4</v>
      </c>
      <c r="B2" t="s">
        <v>49</v>
      </c>
      <c r="C2">
        <v>2</v>
      </c>
      <c r="D2">
        <v>2</v>
      </c>
      <c r="E2">
        <v>3</v>
      </c>
      <c r="F2">
        <v>3</v>
      </c>
      <c r="G2">
        <v>2</v>
      </c>
      <c r="H2">
        <v>2</v>
      </c>
      <c r="I2">
        <v>3</v>
      </c>
      <c r="J2">
        <v>1</v>
      </c>
      <c r="K2">
        <v>3</v>
      </c>
      <c r="L2">
        <v>5</v>
      </c>
      <c r="M2">
        <f>((C2-1)+(5-D2)+(E2-1)+(5-F2)+(G2-1)+(5-H2)+(I2-1)+(5-J2)+(K2-1)+(5-L2))*2.5</f>
        <v>50</v>
      </c>
    </row>
    <row r="3" spans="1:13">
      <c r="A3" t="s">
        <v>8</v>
      </c>
      <c r="B3" t="s">
        <v>49</v>
      </c>
      <c r="C3">
        <v>3</v>
      </c>
      <c r="D3">
        <v>1</v>
      </c>
      <c r="E3">
        <v>4</v>
      </c>
      <c r="F3">
        <v>2</v>
      </c>
      <c r="G3">
        <v>5</v>
      </c>
      <c r="H3">
        <v>1</v>
      </c>
      <c r="I3">
        <v>3</v>
      </c>
      <c r="J3">
        <v>2</v>
      </c>
      <c r="K3">
        <v>4</v>
      </c>
      <c r="L3">
        <v>1</v>
      </c>
      <c r="M3">
        <f>((C3-1)+(5-D3)+(E3-1)+(5-F3)+(G3-1)+(5-H3)+(I3-1)+(5-J3)+(K3-1)+(5-L3))*2.5</f>
        <v>80</v>
      </c>
    </row>
    <row r="4" spans="1:13">
      <c r="A4" t="s">
        <v>9</v>
      </c>
      <c r="B4" t="s">
        <v>10</v>
      </c>
      <c r="C4" t="s">
        <v>51</v>
      </c>
      <c r="D4" t="s">
        <v>51</v>
      </c>
      <c r="E4" t="s">
        <v>51</v>
      </c>
      <c r="F4" t="s">
        <v>51</v>
      </c>
      <c r="G4" t="s">
        <v>51</v>
      </c>
      <c r="H4" t="s">
        <v>51</v>
      </c>
      <c r="I4" t="s">
        <v>51</v>
      </c>
      <c r="J4" t="s">
        <v>51</v>
      </c>
      <c r="K4" t="s">
        <v>51</v>
      </c>
      <c r="L4" t="s">
        <v>51</v>
      </c>
      <c r="M4" t="s">
        <v>51</v>
      </c>
    </row>
    <row r="5" spans="1:13">
      <c r="A5" t="s">
        <v>12</v>
      </c>
      <c r="B5" t="s">
        <v>10</v>
      </c>
      <c r="C5" t="s">
        <v>51</v>
      </c>
      <c r="D5" t="s">
        <v>51</v>
      </c>
      <c r="E5" t="s">
        <v>51</v>
      </c>
      <c r="F5" t="s">
        <v>51</v>
      </c>
      <c r="G5" t="s">
        <v>51</v>
      </c>
      <c r="H5" t="s">
        <v>51</v>
      </c>
      <c r="I5" t="s">
        <v>51</v>
      </c>
      <c r="J5" t="s">
        <v>51</v>
      </c>
      <c r="K5" t="s">
        <v>51</v>
      </c>
      <c r="L5" t="s">
        <v>51</v>
      </c>
      <c r="M5" t="s">
        <v>51</v>
      </c>
    </row>
    <row r="6" spans="1:13">
      <c r="A6" t="s">
        <v>13</v>
      </c>
      <c r="B6" t="s">
        <v>10</v>
      </c>
      <c r="C6" t="s">
        <v>51</v>
      </c>
      <c r="D6" t="s">
        <v>51</v>
      </c>
      <c r="E6" t="s">
        <v>51</v>
      </c>
      <c r="F6" t="s">
        <v>51</v>
      </c>
      <c r="G6" t="s">
        <v>51</v>
      </c>
      <c r="H6" t="s">
        <v>51</v>
      </c>
      <c r="I6" t="s">
        <v>51</v>
      </c>
      <c r="J6" t="s">
        <v>51</v>
      </c>
      <c r="K6" t="s">
        <v>51</v>
      </c>
      <c r="L6" t="s">
        <v>51</v>
      </c>
      <c r="M6" t="s">
        <v>51</v>
      </c>
    </row>
    <row r="7" spans="1:13">
      <c r="A7" t="s">
        <v>14</v>
      </c>
      <c r="B7" t="s">
        <v>49</v>
      </c>
      <c r="C7">
        <v>5</v>
      </c>
      <c r="D7">
        <v>2</v>
      </c>
      <c r="E7">
        <v>5</v>
      </c>
      <c r="F7">
        <v>1</v>
      </c>
      <c r="G7">
        <v>4</v>
      </c>
      <c r="H7">
        <v>1</v>
      </c>
      <c r="I7">
        <v>5</v>
      </c>
      <c r="J7">
        <v>1</v>
      </c>
      <c r="K7">
        <v>4</v>
      </c>
      <c r="L7">
        <v>2</v>
      </c>
      <c r="M7">
        <f>((C7-1)+(5-D7)+(E7-1)+(5-F7)+(G7-1)+(5-H7)+(I7-1)+(5-J7)+(K7-1)+(5-L7))*2.5</f>
        <v>90</v>
      </c>
    </row>
    <row r="8" spans="1:13">
      <c r="A8" t="s">
        <v>15</v>
      </c>
      <c r="B8" t="s">
        <v>49</v>
      </c>
      <c r="C8">
        <v>5</v>
      </c>
      <c r="D8">
        <v>1</v>
      </c>
      <c r="E8">
        <v>3</v>
      </c>
      <c r="F8">
        <v>4</v>
      </c>
      <c r="G8">
        <v>5</v>
      </c>
      <c r="H8">
        <v>1</v>
      </c>
      <c r="I8">
        <v>3</v>
      </c>
      <c r="J8">
        <v>2</v>
      </c>
      <c r="K8">
        <v>4</v>
      </c>
      <c r="L8">
        <v>3</v>
      </c>
      <c r="M8">
        <f>((C8-1)+(5-D8)+(E8-1)+(5-F8)+(G8-1)+(5-H8)+(I8-1)+(5-J8)+(K8-1)+(5-L8))*2.5</f>
        <v>72.5</v>
      </c>
    </row>
    <row r="9" spans="1:13">
      <c r="A9" t="s">
        <v>16</v>
      </c>
      <c r="B9" t="s">
        <v>49</v>
      </c>
      <c r="C9">
        <v>1</v>
      </c>
      <c r="D9">
        <v>4</v>
      </c>
      <c r="E9">
        <v>2</v>
      </c>
      <c r="F9">
        <v>2</v>
      </c>
      <c r="G9">
        <v>4</v>
      </c>
      <c r="H9">
        <v>5</v>
      </c>
      <c r="I9">
        <v>2</v>
      </c>
      <c r="J9">
        <v>4</v>
      </c>
      <c r="K9">
        <v>2</v>
      </c>
      <c r="L9">
        <v>1</v>
      </c>
      <c r="M9">
        <f>((C9-1)+(5-D9)+(E9-1)+(5-F9)+(G9-1)+(5-H9)+(I9-1)+(5-J9)+(K9-1)+(5-L9))*2.5</f>
        <v>37.5</v>
      </c>
    </row>
    <row r="10" spans="1:13">
      <c r="A10" t="s">
        <v>17</v>
      </c>
      <c r="B10" t="s">
        <v>49</v>
      </c>
      <c r="C10">
        <v>3</v>
      </c>
      <c r="D10">
        <v>2</v>
      </c>
      <c r="E10">
        <v>3</v>
      </c>
      <c r="F10">
        <v>4</v>
      </c>
      <c r="G10">
        <v>4</v>
      </c>
      <c r="H10">
        <v>2</v>
      </c>
      <c r="I10">
        <v>3</v>
      </c>
      <c r="J10">
        <v>3</v>
      </c>
      <c r="K10">
        <v>3</v>
      </c>
      <c r="L10">
        <v>4</v>
      </c>
      <c r="M10">
        <f>((C10-1)+(5-D10)+(E10-1)+(5-F10)+(G10-1)+(5-H10)+(I10-1)+(5-J10)+(K10-1)+(5-L10))*2.5</f>
        <v>52.5</v>
      </c>
    </row>
    <row r="11" spans="1:13">
      <c r="A11" t="s">
        <v>18</v>
      </c>
      <c r="B11" t="s">
        <v>49</v>
      </c>
      <c r="C11">
        <v>3</v>
      </c>
      <c r="D11">
        <v>1</v>
      </c>
      <c r="E11">
        <v>4</v>
      </c>
      <c r="F11">
        <v>2</v>
      </c>
      <c r="G11">
        <v>4</v>
      </c>
      <c r="H11">
        <v>2</v>
      </c>
      <c r="I11">
        <v>2</v>
      </c>
      <c r="J11">
        <v>4</v>
      </c>
      <c r="K11">
        <v>4</v>
      </c>
      <c r="L11">
        <v>3</v>
      </c>
      <c r="M11">
        <f>((C11-1)+(5-D11)+(E11-1)+(5-F11)+(G11-1)+(5-H11)+(I11-1)+(5-J11)+(K11-1)+(5-L11))*2.5</f>
        <v>62.5</v>
      </c>
    </row>
    <row r="12" spans="1:13">
      <c r="A12" t="s">
        <v>19</v>
      </c>
      <c r="B12" t="s">
        <v>49</v>
      </c>
      <c r="C12">
        <v>3</v>
      </c>
      <c r="D12">
        <v>2</v>
      </c>
      <c r="E12">
        <v>4</v>
      </c>
      <c r="F12">
        <v>2</v>
      </c>
      <c r="G12">
        <v>3</v>
      </c>
      <c r="H12">
        <v>4</v>
      </c>
      <c r="I12">
        <v>4</v>
      </c>
      <c r="J12">
        <v>3</v>
      </c>
      <c r="K12">
        <v>4</v>
      </c>
      <c r="L12">
        <v>2</v>
      </c>
      <c r="M12">
        <f>((C12-1)+(5-D12)+(E12-1)+(5-F12)+(G12-1)+(5-H12)+(I12-1)+(5-J12)+(K12-1)+(5-L12))*2.5</f>
        <v>62.5</v>
      </c>
    </row>
    <row r="13" spans="1:13">
      <c r="A13" t="s">
        <v>20</v>
      </c>
      <c r="B13" t="s">
        <v>49</v>
      </c>
      <c r="C13">
        <v>2</v>
      </c>
      <c r="D13">
        <v>2</v>
      </c>
      <c r="E13">
        <v>4</v>
      </c>
      <c r="F13">
        <v>2</v>
      </c>
      <c r="G13">
        <v>5</v>
      </c>
      <c r="H13">
        <v>2</v>
      </c>
      <c r="I13">
        <v>3</v>
      </c>
      <c r="J13">
        <v>2</v>
      </c>
      <c r="K13">
        <v>2</v>
      </c>
      <c r="L13">
        <v>2</v>
      </c>
      <c r="M13">
        <f>((C13-1)+(5-D13)+(E13-1)+(5-F13)+(G13-1)+(5-H13)+(I13-1)+(5-J13)+(K13-1)+(5-L13))*2.5</f>
        <v>65</v>
      </c>
    </row>
    <row r="14" spans="1:13">
      <c r="A14" t="s">
        <v>21</v>
      </c>
      <c r="B14" t="s">
        <v>49</v>
      </c>
      <c r="C14">
        <v>2</v>
      </c>
      <c r="D14">
        <v>2</v>
      </c>
      <c r="E14">
        <v>4</v>
      </c>
      <c r="F14">
        <v>4</v>
      </c>
      <c r="G14">
        <v>5</v>
      </c>
      <c r="H14">
        <v>4</v>
      </c>
      <c r="I14">
        <v>3</v>
      </c>
      <c r="J14">
        <v>2</v>
      </c>
      <c r="K14">
        <v>2</v>
      </c>
      <c r="L14">
        <v>4</v>
      </c>
      <c r="M14">
        <f>((C14-1)+(5-D14)+(E14-1)+(5-F14)+(G14-1)+(5-H14)+(I14-1)+(5-J14)+(K14-1)+(5-L14))*2.5</f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8"/>
  <sheetViews>
    <sheetView workbookViewId="0"/>
  </sheetViews>
  <sheetFormatPr defaultRowHeight="15"/>
  <sheetData>
    <row r="1" spans="1:15">
      <c r="A1" t="s">
        <v>0</v>
      </c>
      <c r="B1" t="s">
        <v>24</v>
      </c>
      <c r="C1" t="s">
        <v>70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71</v>
      </c>
      <c r="K1" t="s">
        <v>72</v>
      </c>
      <c r="L1" t="s">
        <v>2</v>
      </c>
      <c r="M1" t="s">
        <v>73</v>
      </c>
      <c r="N1" t="s">
        <v>74</v>
      </c>
      <c r="O1" t="s">
        <v>75</v>
      </c>
    </row>
    <row r="2" spans="1:15">
      <c r="A2" t="s">
        <v>4</v>
      </c>
      <c r="B2" t="s">
        <v>76</v>
      </c>
      <c r="J2" t="s">
        <v>51</v>
      </c>
      <c r="L2" t="s">
        <v>49</v>
      </c>
      <c r="M2" t="s">
        <v>51</v>
      </c>
      <c r="N2" t="s">
        <v>51</v>
      </c>
      <c r="O2" t="s">
        <v>51</v>
      </c>
    </row>
    <row r="3" spans="1:15">
      <c r="A3" t="s">
        <v>4</v>
      </c>
      <c r="B3" t="s">
        <v>77</v>
      </c>
      <c r="J3" t="s">
        <v>51</v>
      </c>
      <c r="L3" t="s">
        <v>49</v>
      </c>
      <c r="M3" t="s">
        <v>51</v>
      </c>
      <c r="N3" t="s">
        <v>51</v>
      </c>
      <c r="O3" t="s">
        <v>51</v>
      </c>
    </row>
    <row r="4" spans="1:15">
      <c r="A4" t="s">
        <v>8</v>
      </c>
      <c r="B4" t="s">
        <v>76</v>
      </c>
      <c r="C4" t="s">
        <v>78</v>
      </c>
      <c r="D4">
        <v>5</v>
      </c>
      <c r="E4">
        <v>1</v>
      </c>
      <c r="F4">
        <v>4</v>
      </c>
      <c r="G4">
        <v>6</v>
      </c>
      <c r="H4">
        <v>4</v>
      </c>
      <c r="I4">
        <v>3</v>
      </c>
      <c r="J4">
        <f>(D4+E4+F4+(10-G4)+H4+I4)/6</f>
        <v>3.5</v>
      </c>
      <c r="L4" t="s">
        <v>49</v>
      </c>
      <c r="M4" t="s">
        <v>79</v>
      </c>
      <c r="N4" t="s">
        <v>51</v>
      </c>
      <c r="O4" t="s">
        <v>51</v>
      </c>
    </row>
    <row r="5" spans="1:15">
      <c r="A5" t="s">
        <v>8</v>
      </c>
      <c r="B5" t="s">
        <v>77</v>
      </c>
      <c r="C5" t="s">
        <v>80</v>
      </c>
      <c r="D5">
        <v>3</v>
      </c>
      <c r="E5">
        <v>1</v>
      </c>
      <c r="F5">
        <v>3</v>
      </c>
      <c r="G5">
        <v>9</v>
      </c>
      <c r="H5">
        <v>4</v>
      </c>
      <c r="I5">
        <v>3</v>
      </c>
      <c r="J5">
        <f>(D5+E5+F5+(10-G5)+H5+I5)/6</f>
        <v>2.5</v>
      </c>
      <c r="L5" t="s">
        <v>49</v>
      </c>
      <c r="M5" t="s">
        <v>81</v>
      </c>
      <c r="N5" t="s">
        <v>51</v>
      </c>
      <c r="O5" t="s">
        <v>51</v>
      </c>
    </row>
    <row r="6" spans="1:15">
      <c r="A6" t="s">
        <v>9</v>
      </c>
      <c r="B6" t="s">
        <v>76</v>
      </c>
      <c r="C6" t="s">
        <v>78</v>
      </c>
      <c r="J6" t="s">
        <v>51</v>
      </c>
      <c r="L6" t="s">
        <v>10</v>
      </c>
      <c r="M6" t="s">
        <v>51</v>
      </c>
      <c r="N6" t="s">
        <v>51</v>
      </c>
      <c r="O6" t="s">
        <v>51</v>
      </c>
    </row>
    <row r="7" spans="1:15">
      <c r="A7" t="s">
        <v>9</v>
      </c>
      <c r="B7" t="s">
        <v>77</v>
      </c>
      <c r="C7" t="s">
        <v>80</v>
      </c>
      <c r="J7" t="s">
        <v>51</v>
      </c>
      <c r="L7" t="s">
        <v>10</v>
      </c>
      <c r="M7" t="s">
        <v>51</v>
      </c>
      <c r="N7" t="s">
        <v>51</v>
      </c>
      <c r="O7" t="s">
        <v>51</v>
      </c>
    </row>
    <row r="8" spans="1:15">
      <c r="A8" t="s">
        <v>12</v>
      </c>
      <c r="B8" t="s">
        <v>76</v>
      </c>
      <c r="C8" t="s">
        <v>78</v>
      </c>
      <c r="J8" t="s">
        <v>51</v>
      </c>
      <c r="L8" t="s">
        <v>10</v>
      </c>
      <c r="M8" t="s">
        <v>51</v>
      </c>
      <c r="N8" t="s">
        <v>51</v>
      </c>
      <c r="O8" t="s">
        <v>51</v>
      </c>
    </row>
    <row r="9" spans="1:15">
      <c r="A9" t="s">
        <v>12</v>
      </c>
      <c r="B9" t="s">
        <v>77</v>
      </c>
      <c r="C9" t="s">
        <v>80</v>
      </c>
      <c r="J9" t="s">
        <v>51</v>
      </c>
      <c r="L9" t="s">
        <v>10</v>
      </c>
      <c r="M9" t="s">
        <v>51</v>
      </c>
      <c r="N9" t="s">
        <v>51</v>
      </c>
      <c r="O9" t="s">
        <v>51</v>
      </c>
    </row>
    <row r="10" spans="1:15">
      <c r="A10" t="s">
        <v>13</v>
      </c>
      <c r="B10" t="s">
        <v>76</v>
      </c>
      <c r="C10" t="s">
        <v>78</v>
      </c>
      <c r="J10" t="s">
        <v>51</v>
      </c>
      <c r="L10" t="s">
        <v>10</v>
      </c>
      <c r="M10" t="s">
        <v>51</v>
      </c>
      <c r="N10" t="s">
        <v>51</v>
      </c>
      <c r="O10" t="s">
        <v>51</v>
      </c>
    </row>
    <row r="11" spans="1:15">
      <c r="A11" t="s">
        <v>13</v>
      </c>
      <c r="B11" t="s">
        <v>77</v>
      </c>
      <c r="C11" t="s">
        <v>80</v>
      </c>
      <c r="J11" t="s">
        <v>51</v>
      </c>
      <c r="L11" t="s">
        <v>10</v>
      </c>
      <c r="M11" t="s">
        <v>51</v>
      </c>
      <c r="N11" t="s">
        <v>51</v>
      </c>
      <c r="O11" t="s">
        <v>51</v>
      </c>
    </row>
    <row r="12" spans="1:15">
      <c r="A12" t="s">
        <v>14</v>
      </c>
      <c r="B12" t="s">
        <v>76</v>
      </c>
      <c r="C12" t="s">
        <v>78</v>
      </c>
      <c r="D12">
        <v>4</v>
      </c>
      <c r="E12">
        <v>1</v>
      </c>
      <c r="F12">
        <v>0</v>
      </c>
      <c r="G12">
        <v>9</v>
      </c>
      <c r="H12">
        <v>2</v>
      </c>
      <c r="I12">
        <v>0</v>
      </c>
      <c r="J12">
        <f>(D12+E12+F12+(10-G12)+H12+I12)/6</f>
        <v>1.3333333333333333</v>
      </c>
      <c r="L12" t="s">
        <v>49</v>
      </c>
      <c r="M12" t="s">
        <v>81</v>
      </c>
      <c r="N12" t="s">
        <v>51</v>
      </c>
      <c r="O12" t="s">
        <v>51</v>
      </c>
    </row>
    <row r="13" spans="1:15">
      <c r="A13" t="s">
        <v>14</v>
      </c>
      <c r="B13" t="s">
        <v>77</v>
      </c>
      <c r="C13" t="s">
        <v>80</v>
      </c>
      <c r="D13">
        <v>7</v>
      </c>
      <c r="E13">
        <v>2</v>
      </c>
      <c r="F13">
        <v>0</v>
      </c>
      <c r="G13">
        <v>8</v>
      </c>
      <c r="H13">
        <v>3</v>
      </c>
      <c r="I13">
        <v>0</v>
      </c>
      <c r="J13">
        <f>(D13+E13+F13+(10-G13)+H13+I13)/6</f>
        <v>2.3333333333333335</v>
      </c>
      <c r="L13" t="s">
        <v>49</v>
      </c>
      <c r="M13" t="s">
        <v>79</v>
      </c>
      <c r="N13" t="s">
        <v>51</v>
      </c>
      <c r="O13" t="s">
        <v>51</v>
      </c>
    </row>
    <row r="14" spans="1:15">
      <c r="A14" t="s">
        <v>15</v>
      </c>
      <c r="B14" t="s">
        <v>76</v>
      </c>
      <c r="C14" t="s">
        <v>80</v>
      </c>
      <c r="D14">
        <v>9</v>
      </c>
      <c r="E14">
        <v>2</v>
      </c>
      <c r="F14">
        <v>4</v>
      </c>
      <c r="G14">
        <v>10</v>
      </c>
      <c r="H14">
        <v>9</v>
      </c>
      <c r="I14">
        <v>2</v>
      </c>
      <c r="J14">
        <f>(D14+E14+F14+(10-G14)+H14+I14)/6</f>
        <v>4.333333333333333</v>
      </c>
      <c r="L14" t="s">
        <v>49</v>
      </c>
      <c r="M14" t="s">
        <v>81</v>
      </c>
      <c r="N14" t="s">
        <v>51</v>
      </c>
      <c r="O14" t="s">
        <v>51</v>
      </c>
    </row>
    <row r="15" spans="1:15">
      <c r="A15" t="s">
        <v>15</v>
      </c>
      <c r="B15" t="s">
        <v>77</v>
      </c>
      <c r="C15" t="s">
        <v>78</v>
      </c>
      <c r="D15">
        <v>6</v>
      </c>
      <c r="E15">
        <v>7</v>
      </c>
      <c r="F15">
        <v>2</v>
      </c>
      <c r="G15">
        <v>8</v>
      </c>
      <c r="H15">
        <v>9</v>
      </c>
      <c r="I15">
        <v>5</v>
      </c>
      <c r="J15">
        <f>(D15+E15+F15+(10-G15)+H15+I15)/6</f>
        <v>5.166666666666667</v>
      </c>
      <c r="L15" t="s">
        <v>49</v>
      </c>
      <c r="M15" t="s">
        <v>79</v>
      </c>
      <c r="N15" t="s">
        <v>51</v>
      </c>
      <c r="O15" t="s">
        <v>51</v>
      </c>
    </row>
    <row r="16" spans="1:15">
      <c r="A16" t="s">
        <v>16</v>
      </c>
      <c r="B16" t="s">
        <v>76</v>
      </c>
      <c r="C16" t="s">
        <v>78</v>
      </c>
      <c r="D16">
        <v>2</v>
      </c>
      <c r="E16">
        <v>1</v>
      </c>
      <c r="F16">
        <v>0</v>
      </c>
      <c r="G16">
        <v>9</v>
      </c>
      <c r="H16">
        <v>2</v>
      </c>
      <c r="I16">
        <v>2</v>
      </c>
      <c r="J16">
        <f>(D16+E16+F16+(10-G16)+H16+I16)/6</f>
        <v>1.3333333333333333</v>
      </c>
      <c r="L16" t="s">
        <v>49</v>
      </c>
      <c r="M16" t="s">
        <v>81</v>
      </c>
      <c r="N16" t="s">
        <v>51</v>
      </c>
      <c r="O16" t="s">
        <v>51</v>
      </c>
    </row>
    <row r="17" spans="1:15">
      <c r="A17" t="s">
        <v>16</v>
      </c>
      <c r="B17" t="s">
        <v>77</v>
      </c>
      <c r="C17" t="s">
        <v>80</v>
      </c>
      <c r="D17">
        <v>1</v>
      </c>
      <c r="E17">
        <v>1</v>
      </c>
      <c r="F17">
        <v>0</v>
      </c>
      <c r="G17">
        <v>10</v>
      </c>
      <c r="H17">
        <v>3</v>
      </c>
      <c r="I17">
        <v>2</v>
      </c>
      <c r="J17">
        <f>(D17+E17+F17+(10-G17)+H17+I17)/6</f>
        <v>1.1666666666666667</v>
      </c>
      <c r="L17" t="s">
        <v>49</v>
      </c>
      <c r="M17" t="s">
        <v>79</v>
      </c>
      <c r="N17" t="s">
        <v>51</v>
      </c>
      <c r="O17" t="s">
        <v>51</v>
      </c>
    </row>
    <row r="18" spans="1:15">
      <c r="A18" t="s">
        <v>17</v>
      </c>
      <c r="B18" t="s">
        <v>76</v>
      </c>
      <c r="C18" t="s">
        <v>78</v>
      </c>
      <c r="D18">
        <v>8</v>
      </c>
      <c r="E18">
        <v>7</v>
      </c>
      <c r="F18">
        <v>4</v>
      </c>
      <c r="G18">
        <v>6</v>
      </c>
      <c r="H18">
        <v>7</v>
      </c>
      <c r="I18">
        <v>4</v>
      </c>
      <c r="J18">
        <f>(D18+E18+F18+(10-G18)+H18+I18)/6</f>
        <v>5.666666666666667</v>
      </c>
      <c r="L18" t="s">
        <v>49</v>
      </c>
      <c r="M18" t="s">
        <v>79</v>
      </c>
      <c r="N18" t="s">
        <v>51</v>
      </c>
      <c r="O18" t="s">
        <v>51</v>
      </c>
    </row>
    <row r="19" spans="1:15">
      <c r="A19" t="s">
        <v>17</v>
      </c>
      <c r="B19" t="s">
        <v>77</v>
      </c>
      <c r="C19" t="s">
        <v>80</v>
      </c>
      <c r="D19">
        <v>8</v>
      </c>
      <c r="E19">
        <v>7</v>
      </c>
      <c r="F19">
        <v>4</v>
      </c>
      <c r="G19">
        <v>5</v>
      </c>
      <c r="H19">
        <v>9</v>
      </c>
      <c r="I19">
        <v>3</v>
      </c>
      <c r="J19">
        <f>(D19+E19+F19+(10-G19)+H19+I19)/6</f>
        <v>6</v>
      </c>
      <c r="L19" t="s">
        <v>49</v>
      </c>
      <c r="M19" t="s">
        <v>81</v>
      </c>
      <c r="N19" t="s">
        <v>51</v>
      </c>
      <c r="O19" t="s">
        <v>51</v>
      </c>
    </row>
    <row r="20" spans="1:15">
      <c r="A20" t="s">
        <v>18</v>
      </c>
      <c r="B20" t="s">
        <v>76</v>
      </c>
      <c r="C20" t="s">
        <v>78</v>
      </c>
      <c r="D20">
        <v>6</v>
      </c>
      <c r="E20">
        <v>0</v>
      </c>
      <c r="F20">
        <v>0</v>
      </c>
      <c r="G20">
        <v>4</v>
      </c>
      <c r="H20">
        <v>5</v>
      </c>
      <c r="I20">
        <v>3</v>
      </c>
      <c r="J20">
        <f>(D20+E20+F20+(10-G20)+H20+I20)/6</f>
        <v>3.3333333333333335</v>
      </c>
      <c r="L20" t="s">
        <v>49</v>
      </c>
      <c r="M20" t="s">
        <v>81</v>
      </c>
      <c r="N20" t="s">
        <v>51</v>
      </c>
      <c r="O20" t="s">
        <v>51</v>
      </c>
    </row>
    <row r="21" spans="1:15">
      <c r="A21" t="s">
        <v>18</v>
      </c>
      <c r="B21" t="s">
        <v>77</v>
      </c>
      <c r="C21" t="s">
        <v>80</v>
      </c>
      <c r="D21">
        <v>5</v>
      </c>
      <c r="E21">
        <v>2</v>
      </c>
      <c r="F21">
        <v>0</v>
      </c>
      <c r="G21">
        <v>5</v>
      </c>
      <c r="H21">
        <v>5</v>
      </c>
      <c r="I21">
        <v>4</v>
      </c>
      <c r="J21">
        <f>(D21+E21+F21+(10-G21)+H21+I21)/6</f>
        <v>3.5</v>
      </c>
      <c r="L21" t="s">
        <v>49</v>
      </c>
      <c r="M21" t="s">
        <v>79</v>
      </c>
      <c r="N21" t="s">
        <v>51</v>
      </c>
      <c r="O21" t="s">
        <v>51</v>
      </c>
    </row>
    <row r="22" spans="1:15">
      <c r="A22" t="s">
        <v>19</v>
      </c>
      <c r="B22" t="s">
        <v>76</v>
      </c>
      <c r="C22" t="s">
        <v>78</v>
      </c>
      <c r="D22">
        <v>5</v>
      </c>
      <c r="E22">
        <v>1</v>
      </c>
      <c r="F22">
        <v>3</v>
      </c>
      <c r="G22">
        <v>8</v>
      </c>
      <c r="H22">
        <v>5</v>
      </c>
      <c r="I22">
        <v>1</v>
      </c>
      <c r="J22">
        <f>(D22+E22+F22+(10-G22)+H22+I22)/6</f>
        <v>2.8333333333333335</v>
      </c>
      <c r="L22" t="s">
        <v>49</v>
      </c>
      <c r="M22" t="s">
        <v>79</v>
      </c>
      <c r="N22" t="s">
        <v>51</v>
      </c>
      <c r="O22" t="s">
        <v>51</v>
      </c>
    </row>
    <row r="23" spans="1:15">
      <c r="A23" t="s">
        <v>19</v>
      </c>
      <c r="B23" t="s">
        <v>77</v>
      </c>
      <c r="C23" t="s">
        <v>80</v>
      </c>
      <c r="D23">
        <v>3</v>
      </c>
      <c r="E23">
        <v>1</v>
      </c>
      <c r="F23">
        <v>3</v>
      </c>
      <c r="G23">
        <v>9</v>
      </c>
      <c r="H23">
        <v>3</v>
      </c>
      <c r="I23">
        <v>1</v>
      </c>
      <c r="J23">
        <f>(D23+E23+F23+(10-G23)+H23+I23)/6</f>
        <v>2</v>
      </c>
      <c r="L23" t="s">
        <v>49</v>
      </c>
      <c r="M23" t="s">
        <v>81</v>
      </c>
      <c r="N23" t="s">
        <v>51</v>
      </c>
      <c r="O23" t="s">
        <v>51</v>
      </c>
    </row>
    <row r="24" spans="1:15">
      <c r="A24" t="s">
        <v>20</v>
      </c>
      <c r="B24" t="s">
        <v>76</v>
      </c>
      <c r="C24" t="s">
        <v>78</v>
      </c>
      <c r="D24">
        <v>6</v>
      </c>
      <c r="E24">
        <v>1</v>
      </c>
      <c r="F24">
        <v>1</v>
      </c>
      <c r="G24">
        <v>8</v>
      </c>
      <c r="H24">
        <v>6</v>
      </c>
      <c r="I24">
        <v>5</v>
      </c>
      <c r="J24">
        <f>(D24+E24+F24+(10-G24)+H24+I24)/6</f>
        <v>3.5</v>
      </c>
      <c r="L24" t="s">
        <v>49</v>
      </c>
      <c r="M24" t="s">
        <v>81</v>
      </c>
      <c r="N24" t="s">
        <v>51</v>
      </c>
      <c r="O24" t="s">
        <v>51</v>
      </c>
    </row>
    <row r="25" spans="1:15">
      <c r="A25" t="s">
        <v>20</v>
      </c>
      <c r="B25" t="s">
        <v>77</v>
      </c>
      <c r="C25" t="s">
        <v>80</v>
      </c>
      <c r="D25">
        <v>2</v>
      </c>
      <c r="E25">
        <v>0</v>
      </c>
      <c r="F25">
        <v>0</v>
      </c>
      <c r="G25">
        <v>10</v>
      </c>
      <c r="H25">
        <v>2</v>
      </c>
      <c r="I25">
        <v>0</v>
      </c>
      <c r="J25">
        <f>(D25+E25+F25+(10-G25)+H25+I25)/6</f>
        <v>0.66666666666666663</v>
      </c>
      <c r="L25" t="s">
        <v>49</v>
      </c>
      <c r="M25" t="s">
        <v>79</v>
      </c>
      <c r="N25" t="s">
        <v>51</v>
      </c>
      <c r="O25" t="s">
        <v>51</v>
      </c>
    </row>
    <row r="26" spans="1:15">
      <c r="A26" t="s">
        <v>21</v>
      </c>
      <c r="B26" t="s">
        <v>76</v>
      </c>
      <c r="C26" t="s">
        <v>80</v>
      </c>
      <c r="D26">
        <v>6</v>
      </c>
      <c r="E26">
        <v>2</v>
      </c>
      <c r="F26">
        <v>1</v>
      </c>
      <c r="G26">
        <v>8</v>
      </c>
      <c r="H26">
        <v>7</v>
      </c>
      <c r="I26">
        <v>2</v>
      </c>
      <c r="J26">
        <f>(D26+E26+F26+(10-G26)+H26+I26)/6</f>
        <v>3.3333333333333335</v>
      </c>
      <c r="L26" t="s">
        <v>49</v>
      </c>
      <c r="M26" t="s">
        <v>81</v>
      </c>
      <c r="N26" t="s">
        <v>51</v>
      </c>
      <c r="O26" t="s">
        <v>51</v>
      </c>
    </row>
    <row r="27" spans="1:15">
      <c r="A27" t="s">
        <v>21</v>
      </c>
      <c r="B27" t="s">
        <v>77</v>
      </c>
      <c r="C27" t="s">
        <v>78</v>
      </c>
      <c r="D27">
        <v>4</v>
      </c>
      <c r="E27">
        <v>2</v>
      </c>
      <c r="F27">
        <v>1</v>
      </c>
      <c r="G27">
        <v>8</v>
      </c>
      <c r="H27">
        <v>4</v>
      </c>
      <c r="I27">
        <v>2</v>
      </c>
      <c r="J27">
        <f>(D27+E27+F27+(10-G27)+H27+I27)/6</f>
        <v>2.5</v>
      </c>
      <c r="L27" t="s">
        <v>49</v>
      </c>
      <c r="M27" t="s">
        <v>79</v>
      </c>
      <c r="N27" t="s">
        <v>51</v>
      </c>
      <c r="O27" t="s">
        <v>51</v>
      </c>
    </row>
    <row r="28" spans="1:15">
      <c r="A28" t="s">
        <v>82</v>
      </c>
      <c r="L28" t="s">
        <v>51</v>
      </c>
      <c r="M28" t="s">
        <v>51</v>
      </c>
      <c r="N28" t="s">
        <v>51</v>
      </c>
      <c r="O28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Brandon Biggs</cp:lastModifiedBy>
  <cp:revision/>
  <dcterms:created xsi:type="dcterms:W3CDTF">2026-04-05T22:29:45Z</dcterms:created>
  <dcterms:modified xsi:type="dcterms:W3CDTF">2026-04-08T17:51:24Z</dcterms:modified>
  <cp:category/>
  <cp:contentStatus/>
</cp:coreProperties>
</file>